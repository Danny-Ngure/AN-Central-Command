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ling Centres by Ward" sheetId="1" state="visible" r:id="rId3"/>
    <sheet name="Ward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<sst xmlns="http://schemas.openxmlformats.org/spreadsheetml/2006/main" count="99" uniqueCount="72">
  <si>
    <t xml:space="preserve">Nyali Constituency — Polling Centres</t>
  </si>
  <si>
    <t xml:space="preserve">30 polling centres (physical venues) across 5 wards — IEBC 2022 Register of Voters.</t>
  </si>
  <si>
    <t xml:space="preserve">A polling CENTRE is the venue (school, hall, ground). On election day each centre runs one or more polling STATIONS (streams) — added later. 'Stations' below = how many streams that centre runs.</t>
  </si>
  <si>
    <t xml:space="preserve">#</t>
  </si>
  <si>
    <t xml:space="preserve">Polling Centre (venue)</t>
  </si>
  <si>
    <t xml:space="preserve">Type</t>
  </si>
  <si>
    <t xml:space="preserve">Stations (streams)</t>
  </si>
  <si>
    <t xml:space="preserve">Registered Voters</t>
  </si>
  <si>
    <t xml:space="preserve">FRERE TOWN  —  ward</t>
  </si>
  <si>
    <t xml:space="preserve">Frere Town Primary School</t>
  </si>
  <si>
    <t xml:space="preserve">Primary school</t>
  </si>
  <si>
    <t xml:space="preserve">Freretown Secondary School</t>
  </si>
  <si>
    <t xml:space="preserve">Secondary school</t>
  </si>
  <si>
    <t xml:space="preserve">Khadija Primary School</t>
  </si>
  <si>
    <t xml:space="preserve">Fadhil-Adhym Primary School</t>
  </si>
  <si>
    <t xml:space="preserve">Teman Junior Academy</t>
  </si>
  <si>
    <t xml:space="preserve">College/Academy</t>
  </si>
  <si>
    <t xml:space="preserve">Sarajevo Grounds</t>
  </si>
  <si>
    <t xml:space="preserve">Ground</t>
  </si>
  <si>
    <t xml:space="preserve">Victoria Baptist Primary School</t>
  </si>
  <si>
    <t xml:space="preserve">Mlaleo Primary School</t>
  </si>
  <si>
    <t xml:space="preserve">Mwandoni Kadiria Grounds</t>
  </si>
  <si>
    <t xml:space="preserve">Khadija Secondary School</t>
  </si>
  <si>
    <t xml:space="preserve">Frere Town subtotal</t>
  </si>
  <si>
    <t xml:space="preserve">10 centres</t>
  </si>
  <si>
    <t xml:space="preserve">ZIWA LA NG'OMBE  —  ward</t>
  </si>
  <si>
    <t xml:space="preserve">Ziwa La Ng'ombe Primary School</t>
  </si>
  <si>
    <t xml:space="preserve">KICODEP Hall</t>
  </si>
  <si>
    <t xml:space="preserve">Hall</t>
  </si>
  <si>
    <t xml:space="preserve">Azhar Primary School</t>
  </si>
  <si>
    <t xml:space="preserve">Ziwa La Ng'ombe subtotal</t>
  </si>
  <si>
    <t xml:space="preserve">3 centres</t>
  </si>
  <si>
    <t xml:space="preserve">MKOMANI  —  ward</t>
  </si>
  <si>
    <t xml:space="preserve">Mkomani Grounds</t>
  </si>
  <si>
    <t xml:space="preserve">Maweni Primary School</t>
  </si>
  <si>
    <t xml:space="preserve">Maweni Mixed Secondary School</t>
  </si>
  <si>
    <t xml:space="preserve">ASK Ground - Gate 'A'</t>
  </si>
  <si>
    <t xml:space="preserve">Mkomani subtotal</t>
  </si>
  <si>
    <t xml:space="preserve">4 centres</t>
  </si>
  <si>
    <t xml:space="preserve">KONGOWEA  —  ward</t>
  </si>
  <si>
    <t xml:space="preserve">Kengeleni Primary School</t>
  </si>
  <si>
    <t xml:space="preserve">Kwa Karama Grounds</t>
  </si>
  <si>
    <t xml:space="preserve">Kongowea Primary School</t>
  </si>
  <si>
    <t xml:space="preserve">Municipal Social Hall - Kongowea</t>
  </si>
  <si>
    <t xml:space="preserve">Methodist Church - Kongowea</t>
  </si>
  <si>
    <t xml:space="preserve">Church</t>
  </si>
  <si>
    <t xml:space="preserve">Kongowea Secondary School</t>
  </si>
  <si>
    <t xml:space="preserve">Kongowea subtotal</t>
  </si>
  <si>
    <t xml:space="preserve">6 centres</t>
  </si>
  <si>
    <t xml:space="preserve">KADZANDANI  —  ward</t>
  </si>
  <si>
    <t xml:space="preserve">Bashir Primary School</t>
  </si>
  <si>
    <t xml:space="preserve">Mwatamba Grounds</t>
  </si>
  <si>
    <t xml:space="preserve">Kadzandani Primary School</t>
  </si>
  <si>
    <t xml:space="preserve">Soweto Grounds</t>
  </si>
  <si>
    <t xml:space="preserve">Marianist Polytechnic</t>
  </si>
  <si>
    <t xml:space="preserve">Bahawani Primary School</t>
  </si>
  <si>
    <t xml:space="preserve">Kadzandani subtotal</t>
  </si>
  <si>
    <t xml:space="preserve">7 centres</t>
  </si>
  <si>
    <t xml:space="preserve">NYALI TOTAL</t>
  </si>
  <si>
    <t xml:space="preserve">30 centres</t>
  </si>
  <si>
    <t xml:space="preserve">Nyali — Polling Centres: Ward Summary</t>
  </si>
  <si>
    <t xml:space="preserve">Ward</t>
  </si>
  <si>
    <t xml:space="preserve">Centres</t>
  </si>
  <si>
    <t xml:space="preserve">Avg voters / centre</t>
  </si>
  <si>
    <t xml:space="preserve">Frere Town</t>
  </si>
  <si>
    <t xml:space="preserve">Ziwa La Ng'ombe</t>
  </si>
  <si>
    <t xml:space="preserve">Mkomani</t>
  </si>
  <si>
    <t xml:space="preserve">Kongowea</t>
  </si>
  <si>
    <t xml:space="preserve">Kadzandani</t>
  </si>
  <si>
    <t xml:space="preserve">TOTAL</t>
  </si>
  <si>
    <t xml:space="preserve">Source: IEBC 2022 Register of Voters (iebc.or.ke). Per-station figures via kenyayote.co.ke; centres cross-checked with blog.afro.co.ke.</t>
  </si>
  <si>
    <t xml:space="preserve">Note: 'Teman Junior Academy' is listed by IEBC under both Frere Town and Kadzandani (boundary venue) — kept in both wards.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</si>
</sst>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5E7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212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212120"/>
      <name val="Arial"/>
      <family val="0"/>
      <charset val="1"/>
    </font>
    <font>
      <b val="true"/>
      <sz val="10"/>
      <color rgb="FF025E73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4"/>
      <color rgb="FF025E7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25E73"/>
        <bgColor rgb="FF008080"/>
      </patternFill>
    </fill>
    <fill>
      <patternFill patternType="solid">
        <fgColor rgb="FFF6FAFB"/>
        <bgColor rgb="FFFFFFFF"/>
      </patternFill>
    </fill>
    <fill>
      <patternFill patternType="solid">
        <fgColor rgb="FFE8F0F2"/>
        <bgColor rgb="FFF6FAFB"/>
      </patternFill>
    </fill>
    <fill>
      <patternFill patternType="solid">
        <fgColor rgb="FFFFE9D6"/>
        <bgColor rgb="FFE8F0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5E73"/>
      <rgbColor rgb="FFC0C0C0"/>
      <rgbColor rgb="FF777777"/>
      <rgbColor rgb="FF9999FF"/>
      <rgbColor rgb="FF993366"/>
      <rgbColor rgb="FFF6FAFB"/>
      <rgbColor rgb="FFE8F0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/>
      <c r="C6" s="5"/>
      <c r="D6" s="5"/>
      <c r="E6" s="5"/>
    </row>
    <row r="7" customFormat="false" ht="15" hidden="false" customHeight="false" outlineLevel="0" collapsed="false">
      <c r="A7" s="6" t="n">
        <v>1</v>
      </c>
      <c r="B7" s="7" t="s">
        <v>9</v>
      </c>
      <c r="C7" s="8" t="s">
        <v>10</v>
      </c>
      <c r="D7" s="6" t="n">
        <v>9</v>
      </c>
      <c r="E7" s="9" t="n">
        <v>6283</v>
      </c>
    </row>
    <row r="8" customFormat="false" ht="15" hidden="false" customHeight="false" outlineLevel="0" collapsed="false">
      <c r="A8" s="10" t="n">
        <v>2</v>
      </c>
      <c r="B8" s="11" t="s">
        <v>11</v>
      </c>
      <c r="C8" s="12" t="s">
        <v>12</v>
      </c>
      <c r="D8" s="10" t="n">
        <v>2</v>
      </c>
      <c r="E8" s="13" t="n">
        <v>1345</v>
      </c>
    </row>
    <row r="9" customFormat="false" ht="15" hidden="false" customHeight="false" outlineLevel="0" collapsed="false">
      <c r="A9" s="6" t="n">
        <v>3</v>
      </c>
      <c r="B9" s="7" t="s">
        <v>13</v>
      </c>
      <c r="C9" s="8" t="s">
        <v>10</v>
      </c>
      <c r="D9" s="6" t="n">
        <v>8</v>
      </c>
      <c r="E9" s="9" t="n">
        <v>5199</v>
      </c>
    </row>
    <row r="10" customFormat="false" ht="15" hidden="false" customHeight="false" outlineLevel="0" collapsed="false">
      <c r="A10" s="10" t="n">
        <v>4</v>
      </c>
      <c r="B10" s="11" t="s">
        <v>14</v>
      </c>
      <c r="C10" s="12" t="s">
        <v>10</v>
      </c>
      <c r="D10" s="10" t="n">
        <v>3</v>
      </c>
      <c r="E10" s="13" t="n">
        <v>1835</v>
      </c>
    </row>
    <row r="11" customFormat="false" ht="15" hidden="false" customHeight="false" outlineLevel="0" collapsed="false">
      <c r="A11" s="6" t="n">
        <v>5</v>
      </c>
      <c r="B11" s="7" t="s">
        <v>15</v>
      </c>
      <c r="C11" s="8" t="s">
        <v>16</v>
      </c>
      <c r="D11" s="6" t="n">
        <v>1</v>
      </c>
      <c r="E11" s="9" t="n">
        <v>610</v>
      </c>
    </row>
    <row r="12" customFormat="false" ht="15" hidden="false" customHeight="false" outlineLevel="0" collapsed="false">
      <c r="A12" s="10" t="n">
        <v>6</v>
      </c>
      <c r="B12" s="11" t="s">
        <v>17</v>
      </c>
      <c r="C12" s="12" t="s">
        <v>18</v>
      </c>
      <c r="D12" s="10" t="n">
        <v>5</v>
      </c>
      <c r="E12" s="13" t="n">
        <v>3021</v>
      </c>
    </row>
    <row r="13" customFormat="false" ht="15" hidden="false" customHeight="false" outlineLevel="0" collapsed="false">
      <c r="A13" s="6" t="n">
        <v>7</v>
      </c>
      <c r="B13" s="7" t="s">
        <v>19</v>
      </c>
      <c r="C13" s="8" t="s">
        <v>10</v>
      </c>
      <c r="D13" s="6" t="n">
        <v>3</v>
      </c>
      <c r="E13" s="9" t="n">
        <v>1759</v>
      </c>
    </row>
    <row r="14" customFormat="false" ht="15" hidden="false" customHeight="false" outlineLevel="0" collapsed="false">
      <c r="A14" s="10" t="n">
        <v>8</v>
      </c>
      <c r="B14" s="11" t="s">
        <v>20</v>
      </c>
      <c r="C14" s="12" t="s">
        <v>10</v>
      </c>
      <c r="D14" s="10" t="n">
        <v>5</v>
      </c>
      <c r="E14" s="13" t="n">
        <v>2826</v>
      </c>
    </row>
    <row r="15" customFormat="false" ht="15" hidden="false" customHeight="false" outlineLevel="0" collapsed="false">
      <c r="A15" s="6" t="n">
        <v>9</v>
      </c>
      <c r="B15" s="7" t="s">
        <v>21</v>
      </c>
      <c r="C15" s="8" t="s">
        <v>18</v>
      </c>
      <c r="D15" s="6" t="n">
        <v>3</v>
      </c>
      <c r="E15" s="9" t="n">
        <v>1604</v>
      </c>
    </row>
    <row r="16" customFormat="false" ht="15" hidden="false" customHeight="false" outlineLevel="0" collapsed="false">
      <c r="A16" s="10" t="n">
        <v>10</v>
      </c>
      <c r="B16" s="11" t="s">
        <v>22</v>
      </c>
      <c r="C16" s="12" t="s">
        <v>12</v>
      </c>
      <c r="D16" s="10" t="n">
        <v>2</v>
      </c>
      <c r="E16" s="13" t="n">
        <v>977</v>
      </c>
    </row>
    <row r="17" customFormat="false" ht="15" hidden="false" customHeight="false" outlineLevel="0" collapsed="false">
      <c r="A17" s="14"/>
      <c r="B17" s="15" t="s">
        <v>23</v>
      </c>
      <c r="C17" s="16" t="s">
        <v>24</v>
      </c>
      <c r="D17" s="17" t="n">
        <f aca="false">SUM(D7:D16)</f>
        <v>41</v>
      </c>
      <c r="E17" s="18" t="n">
        <f aca="false">SUM(E7:E16)</f>
        <v>25459</v>
      </c>
    </row>
    <row r="18" customFormat="false" ht="15" hidden="false" customHeight="false" outlineLevel="0" collapsed="false">
      <c r="A18" s="5" t="s">
        <v>25</v>
      </c>
      <c r="B18" s="5"/>
      <c r="C18" s="5"/>
      <c r="D18" s="5"/>
      <c r="E18" s="5"/>
    </row>
    <row r="19" customFormat="false" ht="15" hidden="false" customHeight="false" outlineLevel="0" collapsed="false">
      <c r="A19" s="6" t="n">
        <v>1</v>
      </c>
      <c r="B19" s="7" t="s">
        <v>26</v>
      </c>
      <c r="C19" s="8" t="s">
        <v>10</v>
      </c>
      <c r="D19" s="6" t="n">
        <v>14</v>
      </c>
      <c r="E19" s="9" t="n">
        <v>9516</v>
      </c>
    </row>
    <row r="20" customFormat="false" ht="15" hidden="false" customHeight="false" outlineLevel="0" collapsed="false">
      <c r="A20" s="10" t="n">
        <v>2</v>
      </c>
      <c r="B20" s="11" t="s">
        <v>27</v>
      </c>
      <c r="C20" s="12" t="s">
        <v>28</v>
      </c>
      <c r="D20" s="10" t="n">
        <v>3</v>
      </c>
      <c r="E20" s="13" t="n">
        <v>1629</v>
      </c>
    </row>
    <row r="21" customFormat="false" ht="15" hidden="false" customHeight="false" outlineLevel="0" collapsed="false">
      <c r="A21" s="6" t="n">
        <v>3</v>
      </c>
      <c r="B21" s="7" t="s">
        <v>29</v>
      </c>
      <c r="C21" s="8" t="s">
        <v>10</v>
      </c>
      <c r="D21" s="6" t="n">
        <v>1</v>
      </c>
      <c r="E21" s="9" t="n">
        <v>472</v>
      </c>
    </row>
    <row r="22" customFormat="false" ht="15" hidden="false" customHeight="false" outlineLevel="0" collapsed="false">
      <c r="A22" s="14"/>
      <c r="B22" s="15" t="s">
        <v>30</v>
      </c>
      <c r="C22" s="16" t="s">
        <v>31</v>
      </c>
      <c r="D22" s="17" t="n">
        <f aca="false">SUM(D19:D21)</f>
        <v>18</v>
      </c>
      <c r="E22" s="18" t="n">
        <f aca="false">SUM(E19:E21)</f>
        <v>11617</v>
      </c>
    </row>
    <row r="23" customFormat="false" ht="15" hidden="false" customHeight="false" outlineLevel="0" collapsed="false">
      <c r="A23" s="5" t="s">
        <v>32</v>
      </c>
      <c r="B23" s="5"/>
      <c r="C23" s="5"/>
      <c r="D23" s="5"/>
      <c r="E23" s="5"/>
    </row>
    <row r="24" customFormat="false" ht="15" hidden="false" customHeight="false" outlineLevel="0" collapsed="false">
      <c r="A24" s="6" t="n">
        <v>1</v>
      </c>
      <c r="B24" s="7" t="s">
        <v>33</v>
      </c>
      <c r="C24" s="8" t="s">
        <v>18</v>
      </c>
      <c r="D24" s="6" t="n">
        <v>4</v>
      </c>
      <c r="E24" s="9" t="n">
        <v>2748</v>
      </c>
    </row>
    <row r="25" customFormat="false" ht="15" hidden="false" customHeight="false" outlineLevel="0" collapsed="false">
      <c r="A25" s="10" t="n">
        <v>2</v>
      </c>
      <c r="B25" s="11" t="s">
        <v>34</v>
      </c>
      <c r="C25" s="12" t="s">
        <v>10</v>
      </c>
      <c r="D25" s="10" t="n">
        <v>10</v>
      </c>
      <c r="E25" s="13" t="n">
        <v>6675</v>
      </c>
    </row>
    <row r="26" customFormat="false" ht="15" hidden="false" customHeight="false" outlineLevel="0" collapsed="false">
      <c r="A26" s="6" t="n">
        <v>3</v>
      </c>
      <c r="B26" s="7" t="s">
        <v>35</v>
      </c>
      <c r="C26" s="8" t="s">
        <v>12</v>
      </c>
      <c r="D26" s="6" t="n">
        <v>4</v>
      </c>
      <c r="E26" s="9" t="n">
        <v>2588</v>
      </c>
    </row>
    <row r="27" customFormat="false" ht="15" hidden="false" customHeight="false" outlineLevel="0" collapsed="false">
      <c r="A27" s="10" t="n">
        <v>4</v>
      </c>
      <c r="B27" s="11" t="s">
        <v>36</v>
      </c>
      <c r="C27" s="12" t="s">
        <v>18</v>
      </c>
      <c r="D27" s="10" t="n">
        <v>8</v>
      </c>
      <c r="E27" s="13" t="n">
        <v>5088</v>
      </c>
    </row>
    <row r="28" customFormat="false" ht="15" hidden="false" customHeight="false" outlineLevel="0" collapsed="false">
      <c r="A28" s="14"/>
      <c r="B28" s="15" t="s">
        <v>37</v>
      </c>
      <c r="C28" s="16" t="s">
        <v>38</v>
      </c>
      <c r="D28" s="17" t="n">
        <f aca="false">SUM(D24:D27)</f>
        <v>26</v>
      </c>
      <c r="E28" s="18" t="n">
        <f aca="false">SUM(E24:E27)</f>
        <v>17099</v>
      </c>
    </row>
    <row r="29" customFormat="false" ht="15" hidden="false" customHeight="false" outlineLevel="0" collapsed="false">
      <c r="A29" s="5" t="s">
        <v>39</v>
      </c>
      <c r="B29" s="5"/>
      <c r="C29" s="5"/>
      <c r="D29" s="5"/>
      <c r="E29" s="5"/>
    </row>
    <row r="30" customFormat="false" ht="15" hidden="false" customHeight="false" outlineLevel="0" collapsed="false">
      <c r="A30" s="6" t="n">
        <v>1</v>
      </c>
      <c r="B30" s="7" t="s">
        <v>40</v>
      </c>
      <c r="C30" s="8" t="s">
        <v>10</v>
      </c>
      <c r="D30" s="6" t="n">
        <v>5</v>
      </c>
      <c r="E30" s="9" t="n">
        <v>3465</v>
      </c>
    </row>
    <row r="31" customFormat="false" ht="15" hidden="false" customHeight="false" outlineLevel="0" collapsed="false">
      <c r="A31" s="10" t="n">
        <v>2</v>
      </c>
      <c r="B31" s="11" t="s">
        <v>41</v>
      </c>
      <c r="C31" s="12" t="s">
        <v>18</v>
      </c>
      <c r="D31" s="10" t="n">
        <v>11</v>
      </c>
      <c r="E31" s="13" t="n">
        <v>7386</v>
      </c>
    </row>
    <row r="32" customFormat="false" ht="15" hidden="false" customHeight="false" outlineLevel="0" collapsed="false">
      <c r="A32" s="6" t="n">
        <v>3</v>
      </c>
      <c r="B32" s="7" t="s">
        <v>42</v>
      </c>
      <c r="C32" s="8" t="s">
        <v>10</v>
      </c>
      <c r="D32" s="6" t="n">
        <v>12</v>
      </c>
      <c r="E32" s="9" t="n">
        <v>8007</v>
      </c>
    </row>
    <row r="33" customFormat="false" ht="15" hidden="false" customHeight="false" outlineLevel="0" collapsed="false">
      <c r="A33" s="10" t="n">
        <v>4</v>
      </c>
      <c r="B33" s="11" t="s">
        <v>43</v>
      </c>
      <c r="C33" s="12" t="s">
        <v>28</v>
      </c>
      <c r="D33" s="10" t="n">
        <v>6</v>
      </c>
      <c r="E33" s="13" t="n">
        <v>3932</v>
      </c>
    </row>
    <row r="34" customFormat="false" ht="15" hidden="false" customHeight="false" outlineLevel="0" collapsed="false">
      <c r="A34" s="6" t="n">
        <v>5</v>
      </c>
      <c r="B34" s="7" t="s">
        <v>44</v>
      </c>
      <c r="C34" s="8" t="s">
        <v>45</v>
      </c>
      <c r="D34" s="6" t="n">
        <v>8</v>
      </c>
      <c r="E34" s="9" t="n">
        <v>5018</v>
      </c>
    </row>
    <row r="35" customFormat="false" ht="15" hidden="false" customHeight="false" outlineLevel="0" collapsed="false">
      <c r="A35" s="10" t="n">
        <v>6</v>
      </c>
      <c r="B35" s="11" t="s">
        <v>46</v>
      </c>
      <c r="C35" s="12" t="s">
        <v>12</v>
      </c>
      <c r="D35" s="10" t="n">
        <v>2</v>
      </c>
      <c r="E35" s="13" t="n">
        <v>1038</v>
      </c>
    </row>
    <row r="36" customFormat="false" ht="15" hidden="false" customHeight="false" outlineLevel="0" collapsed="false">
      <c r="A36" s="14"/>
      <c r="B36" s="15" t="s">
        <v>47</v>
      </c>
      <c r="C36" s="16" t="s">
        <v>48</v>
      </c>
      <c r="D36" s="17" t="n">
        <f aca="false">SUM(D30:D35)</f>
        <v>44</v>
      </c>
      <c r="E36" s="18" t="n">
        <f aca="false">SUM(E30:E35)</f>
        <v>28846</v>
      </c>
    </row>
    <row r="37" customFormat="false" ht="15" hidden="false" customHeight="false" outlineLevel="0" collapsed="false">
      <c r="A37" s="5" t="s">
        <v>49</v>
      </c>
      <c r="B37" s="5"/>
      <c r="C37" s="5"/>
      <c r="D37" s="5"/>
      <c r="E37" s="5"/>
    </row>
    <row r="38" customFormat="false" ht="15" hidden="false" customHeight="false" outlineLevel="0" collapsed="false">
      <c r="A38" s="6" t="n">
        <v>1</v>
      </c>
      <c r="B38" s="7" t="s">
        <v>50</v>
      </c>
      <c r="C38" s="8" t="s">
        <v>10</v>
      </c>
      <c r="D38" s="6" t="n">
        <v>4</v>
      </c>
      <c r="E38" s="9" t="n">
        <v>2633</v>
      </c>
    </row>
    <row r="39" customFormat="false" ht="15" hidden="false" customHeight="false" outlineLevel="0" collapsed="false">
      <c r="A39" s="10" t="n">
        <v>2</v>
      </c>
      <c r="B39" s="11" t="s">
        <v>51</v>
      </c>
      <c r="C39" s="12" t="s">
        <v>18</v>
      </c>
      <c r="D39" s="10" t="n">
        <v>6</v>
      </c>
      <c r="E39" s="13" t="n">
        <v>3759</v>
      </c>
    </row>
    <row r="40" customFormat="false" ht="15" hidden="false" customHeight="false" outlineLevel="0" collapsed="false">
      <c r="A40" s="6" t="n">
        <v>3</v>
      </c>
      <c r="B40" s="7" t="s">
        <v>52</v>
      </c>
      <c r="C40" s="8" t="s">
        <v>10</v>
      </c>
      <c r="D40" s="6" t="n">
        <v>6</v>
      </c>
      <c r="E40" s="9" t="n">
        <v>3715</v>
      </c>
    </row>
    <row r="41" customFormat="false" ht="15" hidden="false" customHeight="false" outlineLevel="0" collapsed="false">
      <c r="A41" s="10" t="n">
        <v>4</v>
      </c>
      <c r="B41" s="11" t="s">
        <v>15</v>
      </c>
      <c r="C41" s="12" t="s">
        <v>16</v>
      </c>
      <c r="D41" s="10" t="n">
        <v>1</v>
      </c>
      <c r="E41" s="13" t="n">
        <v>610</v>
      </c>
    </row>
    <row r="42" customFormat="false" ht="15" hidden="false" customHeight="false" outlineLevel="0" collapsed="false">
      <c r="A42" s="6" t="n">
        <v>5</v>
      </c>
      <c r="B42" s="7" t="s">
        <v>53</v>
      </c>
      <c r="C42" s="8" t="s">
        <v>18</v>
      </c>
      <c r="D42" s="6" t="n">
        <v>5</v>
      </c>
      <c r="E42" s="9" t="n">
        <v>2810</v>
      </c>
    </row>
    <row r="43" customFormat="false" ht="15" hidden="false" customHeight="false" outlineLevel="0" collapsed="false">
      <c r="A43" s="10" t="n">
        <v>6</v>
      </c>
      <c r="B43" s="11" t="s">
        <v>54</v>
      </c>
      <c r="C43" s="12" t="s">
        <v>16</v>
      </c>
      <c r="D43" s="10" t="n">
        <v>3</v>
      </c>
      <c r="E43" s="13" t="n">
        <v>1670</v>
      </c>
    </row>
    <row r="44" customFormat="false" ht="15" hidden="false" customHeight="false" outlineLevel="0" collapsed="false">
      <c r="A44" s="6" t="n">
        <v>7</v>
      </c>
      <c r="B44" s="7" t="s">
        <v>55</v>
      </c>
      <c r="C44" s="8" t="s">
        <v>10</v>
      </c>
      <c r="D44" s="6" t="n">
        <v>4</v>
      </c>
      <c r="E44" s="9" t="n">
        <v>2154</v>
      </c>
    </row>
    <row r="45" customFormat="false" ht="15" hidden="false" customHeight="false" outlineLevel="0" collapsed="false">
      <c r="A45" s="14"/>
      <c r="B45" s="15" t="s">
        <v>56</v>
      </c>
      <c r="C45" s="16" t="s">
        <v>57</v>
      </c>
      <c r="D45" s="17" t="n">
        <f aca="false">SUM(D38:D44)</f>
        <v>29</v>
      </c>
      <c r="E45" s="18" t="n">
        <f aca="false">SUM(E38:E44)</f>
        <v>17351</v>
      </c>
    </row>
    <row r="46" customFormat="false" ht="15" hidden="false" customHeight="false" outlineLevel="0" collapsed="false">
      <c r="A46" s="19"/>
      <c r="B46" s="20" t="s">
        <v>58</v>
      </c>
      <c r="C46" s="21" t="s">
        <v>59</v>
      </c>
      <c r="D46" s="21" t="n">
        <v>158</v>
      </c>
      <c r="E46" s="22" t="n">
        <v>100372</v>
      </c>
    </row>
  </sheetData>
  <mergeCells count="5">
    <mergeCell ref="A6:E6"/>
    <mergeCell ref="A18:E18"/>
    <mergeCell ref="A23:E23"/>
    <mergeCell ref="A29:E29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20"/>
  </cols>
  <sheetData>
    <row r="1" customFormat="false" ht="17.35" hidden="false" customHeight="false" outlineLevel="0" collapsed="false">
      <c r="A1" s="23" t="s">
        <v>60</v>
      </c>
    </row>
    <row r="3" customFormat="false" ht="15" hidden="false" customHeight="false" outlineLevel="0" collapsed="false">
      <c r="A3" s="5" t="s">
        <v>61</v>
      </c>
      <c r="B3" s="4" t="s">
        <v>62</v>
      </c>
      <c r="C3" s="4" t="s">
        <v>6</v>
      </c>
      <c r="D3" s="4" t="s">
        <v>7</v>
      </c>
      <c r="E3" s="4" t="s">
        <v>63</v>
      </c>
    </row>
    <row r="4" customFormat="false" ht="15" hidden="false" customHeight="false" outlineLevel="0" collapsed="false">
      <c r="A4" s="24" t="s">
        <v>64</v>
      </c>
      <c r="B4" s="6" t="n">
        <v>10</v>
      </c>
      <c r="C4" s="6" t="n">
        <v>41</v>
      </c>
      <c r="D4" s="9" t="n">
        <v>25459</v>
      </c>
      <c r="E4" s="9" t="n">
        <f aca="false">D4/B4</f>
        <v>2545.9</v>
      </c>
    </row>
    <row r="5" customFormat="false" ht="15" hidden="false" customHeight="false" outlineLevel="0" collapsed="false">
      <c r="A5" s="24" t="s">
        <v>65</v>
      </c>
      <c r="B5" s="6" t="n">
        <v>3</v>
      </c>
      <c r="C5" s="6" t="n">
        <v>18</v>
      </c>
      <c r="D5" s="9" t="n">
        <v>11617</v>
      </c>
      <c r="E5" s="9" t="n">
        <f aca="false">D5/B5</f>
        <v>3872.33333333333</v>
      </c>
    </row>
    <row r="6" customFormat="false" ht="15" hidden="false" customHeight="false" outlineLevel="0" collapsed="false">
      <c r="A6" s="24" t="s">
        <v>66</v>
      </c>
      <c r="B6" s="6" t="n">
        <v>4</v>
      </c>
      <c r="C6" s="6" t="n">
        <v>26</v>
      </c>
      <c r="D6" s="9" t="n">
        <v>17099</v>
      </c>
      <c r="E6" s="9" t="n">
        <f aca="false">D6/B6</f>
        <v>4274.75</v>
      </c>
    </row>
    <row r="7" customFormat="false" ht="15" hidden="false" customHeight="false" outlineLevel="0" collapsed="false">
      <c r="A7" s="24" t="s">
        <v>67</v>
      </c>
      <c r="B7" s="6" t="n">
        <v>6</v>
      </c>
      <c r="C7" s="6" t="n">
        <v>44</v>
      </c>
      <c r="D7" s="9" t="n">
        <v>28846</v>
      </c>
      <c r="E7" s="9" t="n">
        <f aca="false">D7/B7</f>
        <v>4807.66666666667</v>
      </c>
    </row>
    <row r="8" customFormat="false" ht="15" hidden="false" customHeight="false" outlineLevel="0" collapsed="false">
      <c r="A8" s="24" t="s">
        <v>68</v>
      </c>
      <c r="B8" s="6" t="n">
        <v>7</v>
      </c>
      <c r="C8" s="6" t="n">
        <v>29</v>
      </c>
      <c r="D8" s="9" t="n">
        <v>17351</v>
      </c>
      <c r="E8" s="9" t="n">
        <f aca="false">D8/B8</f>
        <v>2478.71428571429</v>
      </c>
    </row>
    <row r="9" customFormat="false" ht="15" hidden="false" customHeight="false" outlineLevel="0" collapsed="false">
      <c r="A9" s="25" t="s">
        <v>69</v>
      </c>
      <c r="B9" s="21" t="n">
        <f aca="false">SUM(B4:B8)</f>
        <v>30</v>
      </c>
      <c r="C9" s="21" t="n">
        <f aca="false">SUM(C4:C8)</f>
        <v>158</v>
      </c>
      <c r="D9" s="22" t="n">
        <f aca="false">SUM(D4:D8)</f>
        <v>100372</v>
      </c>
      <c r="E9" s="22" t="n">
        <f aca="false">D9/B9</f>
        <v>3345.73333333333</v>
      </c>
    </row>
    <row r="11" customFormat="false" ht="15" hidden="false" customHeight="false" outlineLevel="0" collapsed="false">
      <c r="A11" s="3" t="s">
        <v>70</v>
      </c>
    </row>
    <row r="12" customFormat="false" ht="15" hidden="false" customHeight="false" outlineLevel="0" collapsed="false">
      <c r="A12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2026-07-03T07:33:03Z</dcterms:created>
  <dc:creator>openpyxl</dc:creator>
  <dc:description/>
  <dc:language>en-US</dc:language>
  <cp:lastModifiedBy/>
  <dcterms:modified xsi:type="dcterms:W3CDTF">2026-07-03T07:33:03Z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